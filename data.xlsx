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etrakov_DA\Downloads\Новая папка\"/>
    </mc:Choice>
  </mc:AlternateContent>
  <xr:revisionPtr revIDLastSave="0" documentId="13_ncr:1_{DF4BC1CF-A8B5-4B43-9324-B2A6445808A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Клас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3" i="1" l="1"/>
  <c r="H33" i="1"/>
  <c r="G33" i="1"/>
  <c r="F33" i="1"/>
  <c r="D33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tc={F5EAA9D7-336D-4396-9610-5A17DC40BA14}</author>
    <author>tc={6159E97F-651A-4EAF-90EE-5361732004E1}</author>
    <author>tc={A9D1C65F-95D2-435E-A76D-90A9F0923C41}</author>
    <author>tc={E23F80F4-4BA8-42D3-B063-D6E06B48984A}</author>
  </authors>
  <commentList>
    <comment ref="H1" authorId="0" shapeId="0" xr:uid="{F5EAA9D7-336D-4396-9610-5A17DC40BA14}">
      <text>
        <r>
          <rPr>
            <sz val="10"/>
            <color theme="1"/>
            <rFont val="Arimo"/>
            <family val="2"/>
          </rPr>
          <t>[Threaded comment]
Your application allows you to read this threaded comment; however, any edits to it will get removed if the file is opened in a latest version of Excel.
Comment:
		Ольга Владимировна попросила закупить</t>
        </r>
      </text>
    </comment>
    <comment ref="I1" authorId="1" shapeId="0" xr:uid="{6159E97F-651A-4EAF-90EE-5361732004E1}">
      <text>
        <r>
          <rPr>
            <sz val="10"/>
            <color theme="1"/>
            <rFont val="Arimo"/>
            <family val="2"/>
          </rPr>
          <t>[Threaded comment]
Your application allows you to read this threaded comment; however, any edits to it will get removed if the file is opened in a latest version of Excel.
Comment:
		ОВ (цветы+конверт+видео)  9 000р           + 3 учителя (физра, 2 англ) - чай 1099р + 3 пакета подарочных + 1 конверт подарочный
Reply:
		3 чая для учителей, конверт, 3 пакета Вышло 3130р, Букет 4000р, в конверт положили 5000р</t>
        </r>
      </text>
    </comment>
    <comment ref="J1" authorId="2" shapeId="0" xr:uid="{A9D1C65F-95D2-435E-A76D-90A9F0923C41}">
      <text>
        <r>
          <rPr>
            <sz val="10"/>
            <color theme="1"/>
            <rFont val="Arimo"/>
            <family val="2"/>
          </rPr>
          <t>[Threaded comment]
Your application allows you to read this threaded comment; however, any edits to it will get removed if the file is opened in a latest version of Excel.
Comment:
		486 чокопай
1092 вода
1126 морс
879.91( лента, 4 упаковки печенья, тарелки, салфетки влажные)
125 салфетки из вв бумажные.</t>
        </r>
      </text>
    </comment>
    <comment ref="F3" authorId="3" shapeId="0" xr:uid="{E23F80F4-4BA8-42D3-B063-D6E06B48984A}">
      <text>
        <r>
          <rPr>
            <sz val="10"/>
            <color theme="1"/>
            <rFont val="Arimo"/>
            <family val="2"/>
          </rPr>
          <t>[Threaded comment]
Your application allows you to read this threaded comment; however, any edits to it will get removed if the file is opened in a latest version of Excel.
Comment:
		До сдать 18,6 потому что в начале рассчитывали на 30 человек, в итоге оказалось, что в классе 28. Остаток не сдавших разделили на класс</t>
        </r>
      </text>
    </comment>
  </commentList>
</comments>
</file>

<file path=xl/sharedStrings.xml><?xml version="1.0" encoding="utf-8"?>
<sst xmlns="http://schemas.openxmlformats.org/spreadsheetml/2006/main" count="57" uniqueCount="48">
  <si>
    <t>дети</t>
  </si>
  <si>
    <t>телефон</t>
  </si>
  <si>
    <t>Аветисян Глеб Артемович</t>
  </si>
  <si>
    <t>Агеева Николь Максимовна</t>
  </si>
  <si>
    <t>Анпилов Никита</t>
  </si>
  <si>
    <t>Бишенова Саида Алимовна</t>
  </si>
  <si>
    <t>Борисова Дарья Витальевна</t>
  </si>
  <si>
    <t>Бурматова Ева Вячеславовна</t>
  </si>
  <si>
    <t>89150594411/89870894534</t>
  </si>
  <si>
    <t>Гопеев Богдан Александрович</t>
  </si>
  <si>
    <t>Горбенко Александр Васильевич</t>
  </si>
  <si>
    <t>Гришина Ася Дмитриевна</t>
  </si>
  <si>
    <t>Ефремов Григорий Александрович</t>
  </si>
  <si>
    <t>Жегалов Захар Александрович</t>
  </si>
  <si>
    <t>Ибрагимова Амалия Магомедовна</t>
  </si>
  <si>
    <t>Кириллова Екатерина Сергеевна</t>
  </si>
  <si>
    <t>Ледяев Клим Витальевич</t>
  </si>
  <si>
    <t>Мамедов Омар Рагифович</t>
  </si>
  <si>
    <t>Меньшова Анастасия Владиморовна</t>
  </si>
  <si>
    <t>Михайлов Богдан Константинович</t>
  </si>
  <si>
    <t>Петракова Мария Денисовна</t>
  </si>
  <si>
    <t>89773776008 / 89167258098</t>
  </si>
  <si>
    <t>Петрунин Тимофей Юрьевич</t>
  </si>
  <si>
    <t>Пяткина Мелания Александровна</t>
  </si>
  <si>
    <t>Разуваев Александр Геннадьевич</t>
  </si>
  <si>
    <t>Ржавина Александра Дмитриевна</t>
  </si>
  <si>
    <t>Романов Илья Кириллович</t>
  </si>
  <si>
    <t>Саржанова Маргарита Витальевна</t>
  </si>
  <si>
    <t>Спирин Антон Павлович</t>
  </si>
  <si>
    <t>Тютебаев Арыстан Талготович</t>
  </si>
  <si>
    <t>Щербакова Наташа</t>
  </si>
  <si>
    <t>Юсупова Аниса Саидовна</t>
  </si>
  <si>
    <t>Сдали</t>
  </si>
  <si>
    <t>Остаток</t>
  </si>
  <si>
    <t>Закупка галстуков</t>
  </si>
  <si>
    <t>Общая сумма/на чел</t>
  </si>
  <si>
    <t>День учителя</t>
  </si>
  <si>
    <t>Тетрадки в клетку 30 шт</t>
  </si>
  <si>
    <t>Шарики (украшение класса) 1 сентября</t>
  </si>
  <si>
    <t xml:space="preserve"> </t>
  </si>
  <si>
    <t>12130/433,3</t>
  </si>
  <si>
    <t>2482/88</t>
  </si>
  <si>
    <t>225/8,1</t>
  </si>
  <si>
    <t>общий</t>
  </si>
  <si>
    <t>Ольга Владимировна Николаева</t>
  </si>
  <si>
    <t>7800/278,6</t>
  </si>
  <si>
    <t>Дериволкова Олимпия</t>
  </si>
  <si>
    <t>сладкий стол, осень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</si>
</sst>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₽-419];\-* #,##0.00\ [$₽-419];_-* \-\ [$₽-419];_-@"/>
  </numFmts>
  <fonts count="5">
    <font>
      <sz val="10"/>
      <color theme="1"/>
      <name val="Arimo"/>
      <family val="2"/>
    </font>
    <font>
      <sz val="11"/>
      <color rgb="FF000000"/>
      <name val="Arial"/>
    </font>
    <font>
      <sz val="11"/>
      <name val="Arial"/>
    </font>
    <font>
      <b/>
      <sz val="11"/>
      <color rgb="FF000000"/>
      <name val="Arial"/>
    </font>
    <font>
      <b/>
      <sz val="10"/>
      <name val="Arimo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EDBA"/>
        <bgColor rgb="FFFFEDBA"/>
      </patternFill>
    </fill>
    <fill>
      <patternFill patternType="solid">
        <fgColor rgb="FF70AD47"/>
      </patternFill>
    </fill>
    <fill>
      <patternFill patternType="solid">
        <fgColor rgb="FFFF6964"/>
        <bgColor rgb="FFFF6964"/>
      </patternFill>
    </fill>
    <fill>
      <patternFill patternType="solid">
        <fgColor rgb="FFFFC062"/>
        <bgColor rgb="FFFFC062"/>
      </patternFill>
    </fill>
    <fill>
      <patternFill patternType="solid">
        <fgColor rgb="FFA8DCFF"/>
        <bgColor rgb="FFA8DCFF"/>
      </patternFill>
    </fill>
    <fill>
      <patternFill patternType="solid">
        <fgColor rgb="FFD8DCE6"/>
        <bgColor rgb="FFD8DCE6"/>
      </patternFill>
    </fill>
    <fill>
      <patternFill patternType="solid">
        <fgColor rgb="FF70AD47"/>
        <bgColor rgb="FF70AD47"/>
      </patternFill>
    </fill>
    <fill>
      <patternFill patternType="solid">
        <fgColor rgb="FF03FF00"/>
        <bgColor rgb="FF03FF00"/>
      </patternFill>
    </fill>
    <fill>
      <patternFill patternType="solid">
        <fgColor rgb="FF4DA0FF"/>
        <bgColor rgb="FF4DA0F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64" fontId="2" fillId="5" borderId="4" xfId="0" applyNumberFormat="1" applyFont="1" applyFill="1" applyBorder="1" applyAlignment="1">
      <alignment horizontal="center" vertical="center"/>
    </xf>
    <xf numFmtId="164" fontId="2" fillId="6" borderId="4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7" borderId="4" xfId="0" applyNumberFormat="1" applyFont="1" applyFill="1" applyBorder="1" applyAlignment="1">
      <alignment horizontal="center" vertical="center"/>
    </xf>
    <xf numFmtId="164" fontId="2" fillId="5" borderId="5" xfId="0" applyNumberFormat="1" applyFont="1" applyFill="1" applyBorder="1" applyAlignment="1">
      <alignment horizontal="center" vertical="center"/>
    </xf>
    <xf numFmtId="16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0" fillId="4" borderId="0" xfId="0" applyFill="1" applyAlignment="1">
      <alignment wrapText="1"/>
    </xf>
    <xf numFmtId="164" fontId="2" fillId="10" borderId="4" xfId="0" applyNumberFormat="1" applyFont="1" applyFill="1" applyBorder="1" applyAlignment="1">
      <alignment horizontal="center" vertical="center"/>
    </xf>
    <xf numFmtId="0" fontId="0" fillId="11" borderId="0" xfId="0" applyFill="1"/>
    <xf numFmtId="164" fontId="0" fillId="4" borderId="0" xfId="0" applyNumberFormat="1" applyFill="1" applyAlignment="1">
      <alignment horizontal="center" wrapText="1"/>
    </xf>
    <xf numFmtId="164" fontId="0" fillId="12" borderId="0" xfId="0" applyNumberFormat="1" applyFill="1" applyAlignment="1">
      <alignment horizontal="center"/>
    </xf>
    <xf numFmtId="0" fontId="0" fillId="12" borderId="0" xfId="0" applyNumberFormat="1" applyFill="1"/>
    <xf numFmtId="0" fontId="0" fillId="12" borderId="0" xfId="0" applyNumberFormat="1" applyFill="1"/>
    <xf numFmtId="0" fontId="1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wrapText="1"/>
    </xf>
    <xf numFmtId="164" fontId="2" fillId="9" borderId="8" xfId="0" applyNumberFormat="1" applyFont="1" applyFill="1" applyBorder="1" applyAlignment="1">
      <alignment horizontal="center"/>
    </xf>
    <xf numFmtId="0" fontId="0" fillId="3" borderId="0" xfId="0" applyFill="1"/>
    <xf numFmtId="164" fontId="2" fillId="4" borderId="4" xfId="0" applyNumberFormat="1" applyFont="1" applyFill="1" applyBorder="1" applyAlignment="1">
      <alignment horizontal="center"/>
    </xf>
    <xf numFmtId="0" fontId="2" fillId="9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wrapText="1"/>
    </xf>
    <xf numFmtId="0" fontId="0" fillId="8" borderId="0" xfId="0" applyFill="1" applyAlignment="1">
      <alignment horizontal="center"/>
    </xf>
    <xf numFmtId="0" fontId="0" fillId="8" borderId="0" xfId="0" applyFill="1"/>
    <xf numFmtId="0" fontId="0" fillId="8" borderId="0" xfId="0" applyFill="1"/>
  </cellXfs>
  <cellStyles count="1">
    <cellStyle name="Обычный" xfId="0" builtinId="0" customBuiltin="1"/>
  </cellStyles>
  <dxfs count="4">
    <dxf>
      <fill>
        <patternFill patternType="solid">
          <fgColor rgb="FFFFF7B1"/>
          <bgColor rgb="FFFFF7B1"/>
        </patternFill>
      </fill>
    </dxf>
    <dxf>
      <fill>
        <patternFill patternType="solid">
          <fgColor rgb="FFF9B4B4"/>
          <bgColor rgb="FFF9B4B4"/>
        </patternFill>
      </fill>
    </dxf>
    <dxf>
      <fill>
        <patternFill patternType="solid">
          <fgColor rgb="FFA7E8BF"/>
          <bgColor rgb="FFA7E8BF"/>
        </patternFill>
      </fill>
    </dxf>
    <dxf>
      <fill>
        <patternFill patternType="solid">
          <fgColor rgb="FFF9B4B4"/>
          <bgColor rgb="FFF9B4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sc:personList xmlns:sc="http://schemas.microsoft.com/office/spreadsheetml/2018/threadedcomments">
  <sc:person displayName="Дарья" id="{D4A1F5F6-DCF0-484F-B7BD-0A3D6BAE1EC7}" userId="900846870" providerId="None"/>
  <sc:person displayName="Дашенька" id="{DE00F8CC-FCF1-4D9B-9D63-2E451DBF8D5C}" userId="130034398" providerId="None"/>
</sc: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Arimo" panose="020B0604020202020204"/>
        <a:ea typeface=""/>
        <a:cs typeface=""/>
        <a:font script="Geor" typeface="Sylfaen"/>
      </a:majorFont>
      <a:minorFont>
        <a:latin typeface="Arimo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sc:ThreadedComments xmlns:sc="http://schemas.microsoft.com/office/spreadsheetml/2018/threadedcomments">
  <sc:threadedComment ref="J1" dT="2026-09-29T18:01:05.302Z" personId="{D4A1F5F6-DCF0-484F-B7BD-0A3D6BAE1EC7}" id="{6159E97F-651A-4EAF-90EE-5361732004E1}">
    <sc:text>ОВ (цветы+конверт+видео)  9 000р           + 3 учителя (физра, 2 англ) - чай 1099р + 3 пакета подарочных + 1 конверт подарочный</sc:text>
  </sc:threadedComment>
  <sc:threadedComment ref="G3" dT="2026-10-10T17:09:54.503Z" personId="{D4A1F5F6-DCF0-484F-B7BD-0A3D6BAE1EC7}" id="{E23F80F4-4BA8-42D3-B063-D6E06B48984A}">
    <sc:text>До сдать 18,6 потому что в начале рассчитывали на 30 человек, в итоге оказалось, что в классе 28. Остаток не сдавших разделили на класс</sc:text>
  </sc:threadedComment>
  <sc:threadedComment ref="I1" dT="2026-10-10T17:10:41.730Z" personId="{D4A1F5F6-DCF0-484F-B7BD-0A3D6BAE1EC7}" id="{F5EAA9D7-336D-4396-9610-5A17DC40BA14}">
    <sc:text>Ольга Владимировна попросила закупить</sc:text>
  </sc:threadedComment>
  <sc:threadedComment ref="J1" dT="2026-10-10T17:12:49.558Z" personId="{D4A1F5F6-DCF0-484F-B7BD-0A3D6BAE1EC7}" id="{366B9553-D837-46FF-9DDF-7D3E47037A6D}" parentId="{6159E97F-651A-4EAF-90EE-5361732004E1}">
    <sc:text>3 чая для учителей, конверт, 3 пакета Вышло 3130р, Букет 4000р, в конверт положили 5000р</sc:text>
  </sc:threadedComment>
  <sc:threadedComment ref="K1" dT="2026-10-21T21:13:15.735Z" personId="{DE00F8CC-FCF1-4D9B-9D63-2E451DBF8D5C}" id="{A9D1C65F-95D2-435E-A76D-90A9F0923C41}">
    <sc:text>486 чокопай
1092 вода
1126 морс
879.91( лента, 4 упаковки печенья, тарелки, салфетки влажные)
125 салфетки из вв бумажные.</sc:text>
  </sc:threadedComment>
</s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workbookViewId="0"/>
  </sheetViews>
  <sheetFormatPr defaultColWidth="13.36328125" defaultRowHeight="14.25" customHeight="1"/>
  <cols>
    <col min="1" max="1" width="8.08984375" style="1" customWidth="1"/>
    <col min="2" max="2" width="23.7265625" style="1" customWidth="1"/>
    <col min="3" max="3" width="26.90625" style="6" customWidth="1"/>
    <col min="4" max="5" width="14.1796875" style="5" customWidth="1"/>
    <col min="6" max="6" width="21.36328125" customWidth="1"/>
    <col min="7" max="7" width="19.36328125" customWidth="1"/>
    <col min="8" max="8" width="22.54296875" customWidth="1"/>
    <col min="9" max="9" width="26" customWidth="1"/>
    <col min="10" max="10" width="26.54296875" customWidth="1"/>
  </cols>
  <sheetData>
    <row r="1" spans="1:10" s="20" customFormat="1" ht="26">
      <c r="A1" s="11">
        <v>29</v>
      </c>
      <c r="B1" s="21" t="s">
        <v>0</v>
      </c>
      <c r="C1" s="10" t="s">
        <v>1</v>
      </c>
      <c r="D1" s="22" t="s">
        <v>32</v>
      </c>
      <c r="E1" s="22" t="s">
        <v>33</v>
      </c>
      <c r="F1" s="23" t="s">
        <v>38</v>
      </c>
      <c r="G1" s="24" t="s">
        <v>34</v>
      </c>
      <c r="H1" s="24" t="s">
        <v>37</v>
      </c>
      <c r="I1" s="24" t="s">
        <v>36</v>
      </c>
      <c r="J1" s="24" t="s">
        <v>47</v>
      </c>
    </row>
    <row r="2" spans="1:10" ht="14.75" customHeight="1">
      <c r="A2" s="37"/>
      <c r="B2" s="38"/>
      <c r="C2" s="37"/>
      <c r="D2" s="39"/>
      <c r="E2" s="39"/>
      <c r="F2" s="4" t="s">
        <v>35</v>
      </c>
      <c r="G2" s="4" t="s">
        <v>35</v>
      </c>
      <c r="H2" s="4" t="s">
        <v>35</v>
      </c>
      <c r="I2" s="4" t="s">
        <v>35</v>
      </c>
      <c r="J2" s="4" t="s">
        <v>35</v>
      </c>
    </row>
    <row r="3" spans="1:10" ht="16.649999999999999" customHeight="1">
      <c r="A3" s="37"/>
      <c r="B3" s="38"/>
      <c r="C3" s="37"/>
      <c r="D3" s="39"/>
      <c r="E3" s="39"/>
      <c r="F3" s="28" t="s">
        <v>45</v>
      </c>
      <c r="G3" s="18" t="s">
        <v>41</v>
      </c>
      <c r="H3" s="19" t="s">
        <v>42</v>
      </c>
      <c r="I3" s="25" t="s">
        <v>40</v>
      </c>
      <c r="J3" s="25">
        <v>3708.91</v>
      </c>
    </row>
    <row r="4" spans="1:10" ht="28">
      <c r="A4" s="11">
        <v>1</v>
      </c>
      <c r="B4" s="35" t="s">
        <v>2</v>
      </c>
      <c r="C4" s="12">
        <v>89636777118</v>
      </c>
      <c r="D4" s="13">
        <v>5000</v>
      </c>
      <c r="E4" s="9">
        <f t="shared" ref="E4:E31" si="0">D4-G4-I4-H4-F4</f>
        <v>4451.9999999999991</v>
      </c>
      <c r="F4" s="27">
        <v>18.600000000000001</v>
      </c>
      <c r="G4" s="27">
        <v>88</v>
      </c>
      <c r="H4" s="27">
        <v>8.1</v>
      </c>
      <c r="I4" s="27">
        <v>433.3</v>
      </c>
      <c r="J4" s="40"/>
    </row>
    <row r="5" spans="1:10" ht="28">
      <c r="A5" s="2">
        <v>2</v>
      </c>
      <c r="B5" s="33" t="s">
        <v>3</v>
      </c>
      <c r="C5" s="34">
        <v>89067223684</v>
      </c>
      <c r="D5" s="13">
        <v>5000</v>
      </c>
      <c r="E5" s="9">
        <f t="shared" si="0"/>
        <v>4451.9999999999991</v>
      </c>
      <c r="F5" s="27">
        <v>18.600000000000001</v>
      </c>
      <c r="G5" s="27">
        <v>88</v>
      </c>
      <c r="H5" s="27">
        <v>8.1</v>
      </c>
      <c r="I5" s="27">
        <v>433.3</v>
      </c>
      <c r="J5" s="40"/>
    </row>
    <row r="6" spans="1:10" ht="23.9" customHeight="1">
      <c r="A6" s="2">
        <v>3</v>
      </c>
      <c r="B6" s="36" t="s">
        <v>4</v>
      </c>
      <c r="C6" s="8">
        <v>89859854499</v>
      </c>
      <c r="D6" s="13">
        <v>5000</v>
      </c>
      <c r="E6" s="9">
        <f t="shared" si="0"/>
        <v>4451.9999999999991</v>
      </c>
      <c r="F6">
        <v>18.600000000000001</v>
      </c>
      <c r="G6" s="27">
        <v>88</v>
      </c>
      <c r="H6" s="27">
        <v>8.1</v>
      </c>
      <c r="I6" s="27">
        <v>433.3</v>
      </c>
      <c r="J6" s="40"/>
    </row>
    <row r="7" spans="1:10" ht="28">
      <c r="A7" s="2">
        <v>4</v>
      </c>
      <c r="B7" s="33" t="s">
        <v>5</v>
      </c>
      <c r="C7" s="34">
        <v>89175186151</v>
      </c>
      <c r="D7" s="13">
        <v>5000</v>
      </c>
      <c r="E7" s="9">
        <f t="shared" si="0"/>
        <v>4451.9999999999991</v>
      </c>
      <c r="F7">
        <v>18.600000000000001</v>
      </c>
      <c r="G7" s="27">
        <v>88</v>
      </c>
      <c r="H7" s="27">
        <v>8.1</v>
      </c>
      <c r="I7" s="27">
        <v>433.3</v>
      </c>
      <c r="J7" s="40"/>
    </row>
    <row r="8" spans="1:10" ht="28">
      <c r="A8" s="2">
        <v>5</v>
      </c>
      <c r="B8" s="36" t="s">
        <v>6</v>
      </c>
      <c r="C8" s="8">
        <v>89653658364</v>
      </c>
      <c r="D8" s="13">
        <v>5000</v>
      </c>
      <c r="E8" s="9">
        <f t="shared" si="0"/>
        <v>4451.9999999999991</v>
      </c>
      <c r="F8" s="27">
        <v>18.600000000000001</v>
      </c>
      <c r="G8" s="27">
        <v>88</v>
      </c>
      <c r="H8" s="27">
        <v>8.1</v>
      </c>
      <c r="I8" s="27">
        <v>433.3</v>
      </c>
    </row>
    <row r="9" spans="1:10" ht="28">
      <c r="A9" s="2">
        <v>6</v>
      </c>
      <c r="B9" s="33" t="s">
        <v>7</v>
      </c>
      <c r="C9" s="34" t="s">
        <v>8</v>
      </c>
      <c r="D9" s="13">
        <v>5000</v>
      </c>
      <c r="E9" s="9">
        <f t="shared" si="0"/>
        <v>4451.9999999999991</v>
      </c>
      <c r="F9" s="27">
        <v>18.600000000000001</v>
      </c>
      <c r="G9" s="27">
        <v>88</v>
      </c>
      <c r="H9" s="27">
        <v>8.1</v>
      </c>
      <c r="I9" s="27">
        <v>433.3</v>
      </c>
    </row>
    <row r="10" spans="1:10" ht="28">
      <c r="A10" s="2">
        <v>7</v>
      </c>
      <c r="B10" s="36" t="s">
        <v>9</v>
      </c>
      <c r="C10" s="8">
        <v>89265342681</v>
      </c>
      <c r="D10" s="13">
        <v>5000</v>
      </c>
      <c r="E10" s="9">
        <f t="shared" si="0"/>
        <v>4451.9999999999991</v>
      </c>
      <c r="F10" s="27">
        <v>18.600000000000001</v>
      </c>
      <c r="G10" s="27">
        <v>88</v>
      </c>
      <c r="H10" s="27">
        <v>8.1</v>
      </c>
      <c r="I10" s="27">
        <v>433.3</v>
      </c>
    </row>
    <row r="11" spans="1:10" ht="28">
      <c r="A11" s="2">
        <v>8</v>
      </c>
      <c r="B11" s="33" t="s">
        <v>10</v>
      </c>
      <c r="C11" s="34">
        <v>89892330731</v>
      </c>
      <c r="D11" s="13">
        <v>5000</v>
      </c>
      <c r="E11" s="9">
        <f t="shared" si="0"/>
        <v>4451.9999999999991</v>
      </c>
      <c r="F11" s="27">
        <v>18.600000000000001</v>
      </c>
      <c r="G11" s="27">
        <v>88</v>
      </c>
      <c r="H11" s="27">
        <v>8.1</v>
      </c>
      <c r="I11" s="27">
        <v>433.3</v>
      </c>
    </row>
    <row r="12" spans="1:10" ht="28">
      <c r="A12" s="2">
        <v>9</v>
      </c>
      <c r="B12" s="36" t="s">
        <v>11</v>
      </c>
      <c r="C12" s="8">
        <v>89057879258</v>
      </c>
      <c r="D12" s="13">
        <v>5000</v>
      </c>
      <c r="E12" s="9">
        <f t="shared" si="0"/>
        <v>4451.9999999999991</v>
      </c>
      <c r="F12">
        <v>18.600000000000001</v>
      </c>
      <c r="G12" s="27">
        <v>88</v>
      </c>
      <c r="H12" s="27">
        <v>8.1</v>
      </c>
      <c r="I12" s="27">
        <v>433.3</v>
      </c>
    </row>
    <row r="13" spans="1:10" ht="28">
      <c r="A13" s="2">
        <v>10</v>
      </c>
      <c r="B13" s="33" t="s">
        <v>12</v>
      </c>
      <c r="C13" s="34">
        <v>89197259673</v>
      </c>
      <c r="D13" s="15">
        <v>5000</v>
      </c>
      <c r="E13" s="9">
        <f t="shared" si="0"/>
        <v>4451.9999999999991</v>
      </c>
      <c r="F13" s="27">
        <v>18.600000000000001</v>
      </c>
      <c r="G13" s="27">
        <v>88</v>
      </c>
      <c r="H13" s="27">
        <v>8.1</v>
      </c>
      <c r="I13" s="27">
        <v>433.3</v>
      </c>
    </row>
    <row r="14" spans="1:10" ht="28">
      <c r="A14" s="2">
        <v>11</v>
      </c>
      <c r="B14" s="32" t="s">
        <v>13</v>
      </c>
      <c r="C14" s="8">
        <v>89990146943</v>
      </c>
      <c r="D14" s="16">
        <v>548</v>
      </c>
      <c r="E14" s="9">
        <f t="shared" si="0"/>
        <v>0</v>
      </c>
      <c r="F14" s="27">
        <v>18.600000000000001</v>
      </c>
      <c r="G14" s="27">
        <v>88</v>
      </c>
      <c r="H14" s="27">
        <v>8.1</v>
      </c>
      <c r="I14" s="27">
        <v>433.3</v>
      </c>
    </row>
    <row r="15" spans="1:10" ht="28">
      <c r="A15" s="2">
        <v>12</v>
      </c>
      <c r="B15" s="33" t="s">
        <v>14</v>
      </c>
      <c r="C15" s="34">
        <v>89688801263</v>
      </c>
      <c r="D15" s="13">
        <v>5000</v>
      </c>
      <c r="E15" s="9">
        <f t="shared" si="0"/>
        <v>4451.9999999999991</v>
      </c>
      <c r="F15">
        <v>18.600000000000001</v>
      </c>
      <c r="G15" s="27">
        <v>88</v>
      </c>
      <c r="H15" s="27">
        <v>8.1</v>
      </c>
      <c r="I15" s="27">
        <v>433.3</v>
      </c>
    </row>
    <row r="16" spans="1:10" ht="28">
      <c r="A16" s="2">
        <v>13</v>
      </c>
      <c r="B16" s="36" t="s">
        <v>15</v>
      </c>
      <c r="C16" s="8">
        <v>89161217743</v>
      </c>
      <c r="D16" s="13">
        <v>5000</v>
      </c>
      <c r="E16" s="9">
        <f t="shared" si="0"/>
        <v>4451.9999999999991</v>
      </c>
      <c r="F16" s="27">
        <v>18.600000000000001</v>
      </c>
      <c r="G16" s="27">
        <v>88</v>
      </c>
      <c r="H16" s="27">
        <v>8.1</v>
      </c>
      <c r="I16" s="27">
        <v>433.3</v>
      </c>
    </row>
    <row r="17" spans="1:9" ht="28">
      <c r="A17" s="2">
        <v>14</v>
      </c>
      <c r="B17" s="33" t="s">
        <v>16</v>
      </c>
      <c r="C17" s="34">
        <v>89255311379</v>
      </c>
      <c r="D17" s="26">
        <v>5000</v>
      </c>
      <c r="E17" s="9">
        <f t="shared" si="0"/>
        <v>4451.9999999999991</v>
      </c>
      <c r="F17" s="27">
        <v>18.600000000000001</v>
      </c>
      <c r="G17" s="27">
        <v>88</v>
      </c>
      <c r="H17" s="27">
        <v>8.1</v>
      </c>
      <c r="I17" s="27">
        <v>433.3</v>
      </c>
    </row>
    <row r="18" spans="1:9" ht="28">
      <c r="A18" s="2">
        <v>15</v>
      </c>
      <c r="B18" s="36" t="s">
        <v>17</v>
      </c>
      <c r="C18" s="8">
        <v>89158470111</v>
      </c>
      <c r="D18" s="26">
        <v>5000</v>
      </c>
      <c r="E18" s="9">
        <f t="shared" si="0"/>
        <v>4451.9999999999991</v>
      </c>
      <c r="F18" s="27">
        <v>18.600000000000001</v>
      </c>
      <c r="G18" s="27">
        <v>88</v>
      </c>
      <c r="H18" s="27">
        <v>8.1</v>
      </c>
      <c r="I18" s="27">
        <v>433.3</v>
      </c>
    </row>
    <row r="19" spans="1:9" ht="28">
      <c r="A19" s="2">
        <v>16</v>
      </c>
      <c r="B19" s="33" t="s">
        <v>18</v>
      </c>
      <c r="C19" s="34">
        <v>89854141157</v>
      </c>
      <c r="D19" s="13">
        <v>5000</v>
      </c>
      <c r="E19" s="9">
        <f t="shared" si="0"/>
        <v>4451.9999999999991</v>
      </c>
      <c r="F19" s="27">
        <v>18.600000000000001</v>
      </c>
      <c r="G19" s="27">
        <v>88</v>
      </c>
      <c r="H19" s="27">
        <v>8.1</v>
      </c>
      <c r="I19" s="27">
        <v>433.3</v>
      </c>
    </row>
    <row r="20" spans="1:9" ht="28">
      <c r="A20" s="2">
        <v>17</v>
      </c>
      <c r="B20" s="36" t="s">
        <v>19</v>
      </c>
      <c r="C20" s="8">
        <v>89056615797</v>
      </c>
      <c r="D20" s="26">
        <v>5000</v>
      </c>
      <c r="E20" s="9">
        <f t="shared" si="0"/>
        <v>4451.9999999999991</v>
      </c>
      <c r="F20" s="27">
        <v>18.600000000000001</v>
      </c>
      <c r="G20" s="27">
        <v>88</v>
      </c>
      <c r="H20" s="27">
        <v>8.1</v>
      </c>
      <c r="I20" s="27">
        <v>433.3</v>
      </c>
    </row>
    <row r="21" spans="1:9" ht="28">
      <c r="A21" s="2">
        <v>18</v>
      </c>
      <c r="B21" s="33" t="s">
        <v>20</v>
      </c>
      <c r="C21" s="34" t="s">
        <v>21</v>
      </c>
      <c r="D21" s="13">
        <v>5000</v>
      </c>
      <c r="E21" s="9">
        <f t="shared" si="0"/>
        <v>4451.9999999999991</v>
      </c>
      <c r="F21" s="27">
        <v>18.600000000000001</v>
      </c>
      <c r="G21" s="27">
        <v>88</v>
      </c>
      <c r="H21" s="27">
        <v>8.1</v>
      </c>
      <c r="I21" s="27">
        <v>433.3</v>
      </c>
    </row>
    <row r="22" spans="1:9" ht="28">
      <c r="A22" s="2">
        <v>19</v>
      </c>
      <c r="B22" s="36" t="s">
        <v>22</v>
      </c>
      <c r="C22" s="8">
        <v>89250789905</v>
      </c>
      <c r="D22" s="13">
        <v>5000</v>
      </c>
      <c r="E22" s="9">
        <f t="shared" si="0"/>
        <v>4451.9999999999991</v>
      </c>
      <c r="F22" s="27">
        <v>18.600000000000001</v>
      </c>
      <c r="G22" s="27">
        <v>88</v>
      </c>
      <c r="H22" s="27">
        <v>8.1</v>
      </c>
      <c r="I22" s="27">
        <v>433.3</v>
      </c>
    </row>
    <row r="23" spans="1:9" ht="28">
      <c r="A23" s="2">
        <v>20</v>
      </c>
      <c r="B23" s="33" t="s">
        <v>23</v>
      </c>
      <c r="C23" s="34">
        <v>89260322233</v>
      </c>
      <c r="D23" s="26">
        <v>5000</v>
      </c>
      <c r="E23" s="9">
        <f t="shared" si="0"/>
        <v>4451.9999999999991</v>
      </c>
      <c r="F23" s="27">
        <v>18.600000000000001</v>
      </c>
      <c r="G23" s="27">
        <v>88</v>
      </c>
      <c r="H23" s="27">
        <v>8.1</v>
      </c>
      <c r="I23" s="27">
        <v>433.3</v>
      </c>
    </row>
    <row r="24" spans="1:9" ht="28">
      <c r="A24" s="2">
        <v>21</v>
      </c>
      <c r="B24" s="36" t="s">
        <v>24</v>
      </c>
      <c r="C24" s="8">
        <v>89152461965</v>
      </c>
      <c r="D24" s="13">
        <v>5000</v>
      </c>
      <c r="E24" s="9">
        <f t="shared" si="0"/>
        <v>4451.9999999999991</v>
      </c>
      <c r="F24" s="27">
        <v>18.600000000000001</v>
      </c>
      <c r="G24" s="27">
        <v>88</v>
      </c>
      <c r="H24" s="27">
        <v>8.1</v>
      </c>
      <c r="I24" s="27">
        <v>433.3</v>
      </c>
    </row>
    <row r="25" spans="1:9" ht="28">
      <c r="A25" s="2">
        <v>22</v>
      </c>
      <c r="B25" s="33" t="s">
        <v>25</v>
      </c>
      <c r="C25" s="34">
        <v>89267881561</v>
      </c>
      <c r="D25" s="26">
        <v>5000</v>
      </c>
      <c r="E25" s="9">
        <f t="shared" si="0"/>
        <v>4451.9999999999991</v>
      </c>
      <c r="F25" s="27">
        <v>18.600000000000001</v>
      </c>
      <c r="G25" s="27">
        <v>88</v>
      </c>
      <c r="H25" s="27">
        <v>8.1</v>
      </c>
      <c r="I25" s="27">
        <v>433.3</v>
      </c>
    </row>
    <row r="26" spans="1:9" ht="28">
      <c r="A26" s="2">
        <v>23</v>
      </c>
      <c r="B26" s="36" t="s">
        <v>26</v>
      </c>
      <c r="C26" s="8">
        <v>89265784184</v>
      </c>
      <c r="D26" s="14">
        <v>5000</v>
      </c>
      <c r="E26" s="9">
        <f t="shared" si="0"/>
        <v>4451.9999999999991</v>
      </c>
      <c r="F26" s="40">
        <v>18.600000000000001</v>
      </c>
      <c r="G26" s="27">
        <v>88</v>
      </c>
      <c r="H26" s="27">
        <v>8.1</v>
      </c>
      <c r="I26" s="27">
        <v>433.3</v>
      </c>
    </row>
    <row r="27" spans="1:9" ht="28">
      <c r="A27" s="2">
        <v>24</v>
      </c>
      <c r="B27" s="32" t="s">
        <v>27</v>
      </c>
      <c r="C27" s="34">
        <v>89192129996</v>
      </c>
      <c r="D27" s="14">
        <v>548</v>
      </c>
      <c r="E27" s="41">
        <f t="shared" si="0"/>
        <v>0</v>
      </c>
      <c r="F27" s="27">
        <v>18.600000000000001</v>
      </c>
      <c r="G27" s="27">
        <v>88</v>
      </c>
      <c r="H27" s="27">
        <v>8.1</v>
      </c>
      <c r="I27" s="27">
        <v>433.3</v>
      </c>
    </row>
    <row r="28" spans="1:9" ht="30" customHeight="1">
      <c r="A28" s="2">
        <v>25</v>
      </c>
      <c r="B28" s="32" t="s">
        <v>28</v>
      </c>
      <c r="C28" s="8">
        <v>89169446645</v>
      </c>
      <c r="D28" s="26">
        <v>3130</v>
      </c>
      <c r="E28" s="9">
        <f t="shared" si="0"/>
        <v>2582</v>
      </c>
      <c r="F28" s="27">
        <v>18.600000000000001</v>
      </c>
      <c r="G28" s="27">
        <v>88</v>
      </c>
      <c r="H28" s="27">
        <v>8.1</v>
      </c>
      <c r="I28" s="27">
        <v>433.3</v>
      </c>
    </row>
    <row r="29" spans="1:9" ht="27.9" customHeight="1">
      <c r="A29" s="2">
        <v>26</v>
      </c>
      <c r="B29" s="33" t="s">
        <v>29</v>
      </c>
      <c r="C29" s="34">
        <v>89994606992</v>
      </c>
      <c r="D29" s="13">
        <v>5000</v>
      </c>
      <c r="E29" s="9">
        <f t="shared" si="0"/>
        <v>4451.9999999999991</v>
      </c>
      <c r="F29" s="27">
        <v>18.600000000000001</v>
      </c>
      <c r="G29" s="27">
        <v>88</v>
      </c>
      <c r="H29" s="27">
        <v>8.1</v>
      </c>
      <c r="I29" s="27">
        <v>433.3</v>
      </c>
    </row>
    <row r="30" spans="1:9" ht="14">
      <c r="A30" s="2">
        <v>27</v>
      </c>
      <c r="B30" s="36" t="s">
        <v>30</v>
      </c>
      <c r="C30" s="8">
        <v>89168217429</v>
      </c>
      <c r="D30" s="13">
        <v>5000</v>
      </c>
      <c r="E30" s="9">
        <f t="shared" si="0"/>
        <v>4451.9999999999991</v>
      </c>
      <c r="F30">
        <v>18.600000000000001</v>
      </c>
      <c r="G30" s="27">
        <v>88</v>
      </c>
      <c r="H30" s="27">
        <v>8.1</v>
      </c>
      <c r="I30" s="27">
        <v>433.3</v>
      </c>
    </row>
    <row r="31" spans="1:9" ht="28">
      <c r="A31" s="2">
        <v>28</v>
      </c>
      <c r="B31" s="33" t="s">
        <v>31</v>
      </c>
      <c r="C31" s="34">
        <v>89250407777</v>
      </c>
      <c r="D31" s="17">
        <v>5000</v>
      </c>
      <c r="E31" s="9">
        <f t="shared" si="0"/>
        <v>4451.9999999999991</v>
      </c>
      <c r="F31" s="27">
        <v>18.600000000000001</v>
      </c>
      <c r="G31" s="27">
        <v>88</v>
      </c>
      <c r="H31" s="27">
        <v>8.1</v>
      </c>
      <c r="I31" s="27">
        <v>433.3</v>
      </c>
    </row>
    <row r="32" spans="1:9" ht="25.15" customHeight="1">
      <c r="A32" s="2">
        <v>29</v>
      </c>
      <c r="B32" s="36" t="s">
        <v>46</v>
      </c>
      <c r="C32" s="44">
        <v>89153361158</v>
      </c>
      <c r="D32" s="17">
        <v>0</v>
      </c>
      <c r="E32" s="41">
        <v>0</v>
      </c>
      <c r="F32" s="27">
        <v>0</v>
      </c>
      <c r="G32" s="27">
        <v>0</v>
      </c>
      <c r="H32" s="27">
        <v>0</v>
      </c>
      <c r="I32" s="27">
        <v>0</v>
      </c>
    </row>
    <row r="33" spans="1:10" ht="28.4" customHeight="1">
      <c r="A33" s="3">
        <v>0</v>
      </c>
      <c r="B33" s="46" t="s">
        <v>43</v>
      </c>
      <c r="C33" s="45"/>
      <c r="D33" s="29">
        <f t="shared" ref="D33:I33" si="1">SUM(D4:D31)</f>
        <v>129226</v>
      </c>
      <c r="E33" s="29">
        <f t="shared" si="1"/>
        <v>113881.99999999999</v>
      </c>
      <c r="F33" s="30">
        <f t="shared" si="1"/>
        <v>520.8000000000003</v>
      </c>
      <c r="G33" s="31">
        <f t="shared" si="1"/>
        <v>2464</v>
      </c>
      <c r="H33" s="31">
        <f t="shared" si="1"/>
        <v>226.7999999999999</v>
      </c>
      <c r="I33" s="31">
        <f t="shared" si="1"/>
        <v>12132.399999999996</v>
      </c>
      <c r="J33" s="31"/>
    </row>
    <row r="34" spans="1:10" ht="28">
      <c r="A34" s="3"/>
      <c r="B34" s="43" t="s">
        <v>44</v>
      </c>
      <c r="C34" s="42"/>
      <c r="D34" s="47" t="s">
        <v>39</v>
      </c>
      <c r="E34" s="47" t="s">
        <v>39</v>
      </c>
      <c r="F34" s="48" t="s">
        <v>39</v>
      </c>
      <c r="G34" s="49" t="s">
        <v>39</v>
      </c>
      <c r="H34" s="49" t="s">
        <v>39</v>
      </c>
      <c r="I34" s="49" t="s">
        <v>39</v>
      </c>
    </row>
    <row r="35" spans="1:10" ht="14">
      <c r="A35" s="3"/>
      <c r="B35" s="3"/>
      <c r="C35" s="7"/>
    </row>
    <row r="36" spans="1:10" ht="14">
      <c r="A36" s="3"/>
      <c r="B36" s="3"/>
      <c r="C36" s="7"/>
    </row>
    <row r="37" spans="1:10" ht="14">
      <c r="A37" s="3"/>
      <c r="B37" s="3"/>
      <c r="C37" s="7"/>
    </row>
    <row r="38" spans="1:10" ht="14">
      <c r="A38" s="3"/>
      <c r="B38" s="3"/>
      <c r="C38" s="7"/>
    </row>
    <row r="39" spans="1:10" ht="14">
      <c r="A39" s="3"/>
      <c r="B39" s="3"/>
      <c r="C39" s="7"/>
    </row>
    <row r="40" spans="1:10" ht="14">
      <c r="A40" s="3"/>
      <c r="B40" s="3"/>
      <c r="C40" s="7"/>
    </row>
    <row r="41" spans="1:10" ht="14">
      <c r="A41" s="3"/>
      <c r="B41" s="3"/>
      <c r="C41" s="7"/>
    </row>
    <row r="42" spans="1:10" ht="14">
      <c r="A42" s="3"/>
      <c r="B42" s="3"/>
      <c r="C42" s="7"/>
    </row>
    <row r="43" spans="1:10" ht="14">
      <c r="A43" s="3"/>
      <c r="B43" s="3"/>
      <c r="C43" s="7"/>
    </row>
    <row r="44" spans="1:10" ht="14">
      <c r="A44" s="3"/>
      <c r="B44" s="3"/>
      <c r="C44" s="7"/>
    </row>
    <row r="45" spans="1:10" ht="14">
      <c r="A45" s="3"/>
      <c r="B45" s="3"/>
      <c r="C45" s="7"/>
    </row>
    <row r="46" spans="1:10" ht="14">
      <c r="A46" s="3"/>
      <c r="B46" s="3"/>
      <c r="C46" s="7"/>
    </row>
    <row r="47" spans="1:10" ht="14">
      <c r="A47" s="3"/>
      <c r="B47" s="3"/>
      <c r="C47" s="7"/>
    </row>
    <row r="48" spans="1:10" ht="14">
      <c r="A48" s="3"/>
      <c r="B48" s="3"/>
      <c r="C48" s="7"/>
    </row>
    <row r="49" spans="1:3" ht="14">
      <c r="A49" s="3"/>
      <c r="B49" s="3"/>
      <c r="C49" s="7"/>
    </row>
    <row r="50" spans="1:3" ht="14">
      <c r="A50" s="3"/>
      <c r="B50" s="3"/>
      <c r="C50" s="7"/>
    </row>
    <row r="51" spans="1:3" ht="14">
      <c r="A51" s="3"/>
      <c r="B51" s="3"/>
      <c r="C51" s="7"/>
    </row>
    <row r="52" spans="1:3" ht="14">
      <c r="A52" s="3"/>
      <c r="B52" s="3"/>
      <c r="C52" s="7"/>
    </row>
    <row r="53" spans="1:3" ht="14">
      <c r="A53" s="3"/>
      <c r="B53" s="3"/>
      <c r="C53" s="7"/>
    </row>
    <row r="54" spans="1:3" ht="14">
      <c r="A54" s="3"/>
      <c r="B54" s="3"/>
      <c r="C54" s="7"/>
    </row>
    <row r="55" spans="1:3" ht="14">
      <c r="A55" s="3"/>
      <c r="B55" s="3"/>
      <c r="C55" s="7"/>
    </row>
    <row r="56" spans="1:3" ht="14">
      <c r="A56" s="3"/>
      <c r="B56" s="3"/>
      <c r="C56" s="7"/>
    </row>
    <row r="57" spans="1:3" ht="14">
      <c r="A57" s="3"/>
      <c r="B57" s="3"/>
      <c r="C57" s="7"/>
    </row>
    <row r="58" spans="1:3" ht="14">
      <c r="A58" s="3"/>
      <c r="B58" s="3"/>
      <c r="C58" s="7"/>
    </row>
    <row r="59" spans="1:3" ht="14">
      <c r="A59" s="3"/>
      <c r="B59" s="3"/>
      <c r="C59" s="7"/>
    </row>
    <row r="60" spans="1:3" ht="14">
      <c r="A60" s="3"/>
      <c r="B60" s="3"/>
      <c r="C60" s="7"/>
    </row>
    <row r="61" spans="1:3" ht="14">
      <c r="A61" s="3"/>
      <c r="B61" s="3"/>
      <c r="C61" s="7"/>
    </row>
    <row r="62" spans="1:3" ht="14">
      <c r="A62" s="3"/>
      <c r="B62" s="3"/>
      <c r="C62" s="7"/>
    </row>
    <row r="63" spans="1:3" ht="14">
      <c r="A63" s="3"/>
      <c r="B63" s="3"/>
      <c r="C63" s="7"/>
    </row>
    <row r="64" spans="1:3" ht="14">
      <c r="A64" s="3"/>
      <c r="B64" s="3"/>
      <c r="C64" s="7"/>
    </row>
    <row r="65" spans="1:3" ht="14">
      <c r="A65" s="3"/>
      <c r="B65" s="3"/>
      <c r="C65" s="7"/>
    </row>
    <row r="66" spans="1:3" ht="14">
      <c r="A66" s="3"/>
      <c r="B66" s="3"/>
      <c r="C66" s="7"/>
    </row>
    <row r="67" spans="1:3" ht="14">
      <c r="A67" s="3"/>
      <c r="B67" s="3"/>
      <c r="C67" s="7"/>
    </row>
    <row r="68" spans="1:3" ht="14">
      <c r="A68" s="3"/>
      <c r="B68" s="3"/>
      <c r="C68" s="7"/>
    </row>
    <row r="69" spans="1:3" ht="14">
      <c r="A69" s="3"/>
      <c r="B69" s="3"/>
      <c r="C69" s="7"/>
    </row>
    <row r="70" spans="1:3" ht="14">
      <c r="A70" s="3"/>
      <c r="B70" s="3"/>
      <c r="C70" s="7"/>
    </row>
    <row r="71" spans="1:3" ht="14">
      <c r="A71" s="3"/>
      <c r="B71" s="3"/>
      <c r="C71" s="7"/>
    </row>
    <row r="72" spans="1:3" ht="14">
      <c r="A72" s="3"/>
      <c r="B72" s="3"/>
      <c r="C72" s="7"/>
    </row>
    <row r="73" spans="1:3" ht="14">
      <c r="A73" s="3"/>
      <c r="B73" s="3"/>
      <c r="C73" s="7"/>
    </row>
    <row r="74" spans="1:3" ht="14">
      <c r="A74" s="3"/>
      <c r="B74" s="3"/>
      <c r="C74" s="7"/>
    </row>
    <row r="75" spans="1:3" ht="14">
      <c r="A75" s="3"/>
      <c r="B75" s="3"/>
      <c r="C75" s="7"/>
    </row>
    <row r="76" spans="1:3" ht="14">
      <c r="A76" s="3"/>
      <c r="B76" s="3"/>
      <c r="C76" s="7"/>
    </row>
    <row r="77" spans="1:3" ht="14">
      <c r="A77" s="3"/>
      <c r="B77" s="3"/>
      <c r="C77" s="7"/>
    </row>
    <row r="78" spans="1:3" ht="14">
      <c r="A78" s="3"/>
      <c r="B78" s="3"/>
      <c r="C78" s="7"/>
    </row>
    <row r="79" spans="1:3" ht="14">
      <c r="A79" s="3"/>
      <c r="B79" s="3"/>
      <c r="C79" s="7"/>
    </row>
    <row r="80" spans="1:3" ht="14">
      <c r="A80" s="3"/>
      <c r="B80" s="3"/>
      <c r="C80" s="7"/>
    </row>
    <row r="81" spans="1:3" ht="14">
      <c r="A81" s="3"/>
      <c r="B81" s="3"/>
      <c r="C81" s="7"/>
    </row>
    <row r="82" spans="1:3" ht="14">
      <c r="A82" s="3"/>
      <c r="B82" s="3"/>
      <c r="C82" s="7"/>
    </row>
    <row r="83" spans="1:3" ht="14">
      <c r="A83" s="3"/>
      <c r="B83" s="3"/>
      <c r="C83" s="7"/>
    </row>
    <row r="84" spans="1:3" ht="14">
      <c r="A84" s="3"/>
      <c r="B84" s="3"/>
      <c r="C84" s="7"/>
    </row>
    <row r="85" spans="1:3" ht="14">
      <c r="A85" s="3"/>
      <c r="B85" s="3"/>
      <c r="C85" s="7"/>
    </row>
    <row r="86" spans="1:3" ht="14">
      <c r="A86" s="3"/>
      <c r="B86" s="3"/>
      <c r="C86" s="7"/>
    </row>
    <row r="87" spans="1:3" ht="14">
      <c r="A87" s="3"/>
      <c r="B87" s="3"/>
      <c r="C87" s="7"/>
    </row>
    <row r="88" spans="1:3" ht="14">
      <c r="A88" s="3"/>
      <c r="B88" s="3"/>
      <c r="C88" s="7"/>
    </row>
    <row r="89" spans="1:3" ht="14">
      <c r="A89" s="3"/>
      <c r="B89" s="3"/>
      <c r="C89" s="7"/>
    </row>
    <row r="90" spans="1:3" ht="14">
      <c r="A90" s="3"/>
      <c r="B90" s="3"/>
      <c r="C90" s="7"/>
    </row>
    <row r="91" spans="1:3" ht="14">
      <c r="A91" s="3"/>
      <c r="B91" s="3"/>
      <c r="C91" s="7"/>
    </row>
    <row r="92" spans="1:3" ht="14">
      <c r="A92" s="3"/>
      <c r="B92" s="3"/>
      <c r="C92" s="7"/>
    </row>
    <row r="93" spans="1:3" ht="14">
      <c r="A93" s="3"/>
      <c r="B93" s="3"/>
      <c r="C93" s="7"/>
    </row>
    <row r="94" spans="1:3" ht="14">
      <c r="A94" s="3"/>
      <c r="B94" s="3"/>
      <c r="C94" s="7"/>
    </row>
    <row r="95" spans="1:3" ht="14">
      <c r="A95" s="3"/>
      <c r="B95" s="3"/>
      <c r="C95" s="7"/>
    </row>
    <row r="96" spans="1:3" ht="14">
      <c r="A96" s="3"/>
      <c r="B96" s="3"/>
      <c r="C96" s="7"/>
    </row>
    <row r="97" spans="1:3" ht="14">
      <c r="A97" s="3"/>
      <c r="B97" s="3"/>
      <c r="C97" s="7"/>
    </row>
    <row r="98" spans="1:3" ht="14">
      <c r="A98" s="3"/>
      <c r="B98" s="3"/>
      <c r="C98" s="7"/>
    </row>
    <row r="99" spans="1:3" ht="14">
      <c r="A99" s="3"/>
      <c r="B99" s="3"/>
      <c r="C99" s="7"/>
    </row>
    <row r="100" spans="1:3" ht="14">
      <c r="A100" s="3"/>
      <c r="B100" s="3"/>
      <c r="C100" s="7"/>
    </row>
  </sheetData>
  <conditionalFormatting sqref="D4:D32">
    <cfRule type="cellIs" dxfId="3" priority="2" operator="equal">
      <formula>0</formula>
    </cfRule>
  </conditionalFormatting>
  <conditionalFormatting sqref="D4:E32">
    <cfRule type="cellIs" dxfId="2" priority="3" operator="greaterThan">
      <formula>0</formula>
    </cfRule>
  </conditionalFormatting>
  <conditionalFormatting sqref="E4:E32">
    <cfRule type="cellIs" dxfId="1" priority="9" operator="lessThan">
      <formula>0</formula>
    </cfRule>
  </conditionalFormatting>
  <conditionalFormatting sqref="E14">
    <cfRule type="cellIs" dxfId="0" priority="1" operator="equal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Класс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Петраков Денис Алексеевич</cp:lastModifiedBy>
  <dcterms:created xsi:type="dcterms:W3CDTF">2024-11-07T07:51:35Z</dcterms:created>
  <dcterms:modified xsi:type="dcterms:W3CDTF">2026-10-22T07:26:22Z</dcterms:modified>
</cp:coreProperties>
</file>